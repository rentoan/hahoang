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00d33f275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3fa559380a1410b"/>
    <x:sheet xmlns:r="http://schemas.openxmlformats.org/officeDocument/2006/relationships" name="Product_Upload" sheetId="2" r:id="R798f32e7ec6248cf"/>
    <x:sheet xmlns:r="http://schemas.openxmlformats.org/officeDocument/2006/relationships" name="Category_Lookup" sheetId="3" r:id="R16162f35008b417b"/>
    <x:sheet xmlns:r="http://schemas.openxmlformats.org/officeDocument/2006/relationships" name="Summary" sheetId="4" r:id="R178f15e1dcbe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14d1ed5734b84" /><Relationship Type="http://schemas.openxmlformats.org/officeDocument/2006/relationships/theme" Target="/xl/theme/theme1.xml" Id="R23e7d872c92242be" /><Relationship Type="http://schemas.openxmlformats.org/officeDocument/2006/relationships/sharedStrings" Target="/xl/sharedStrings.xml" Id="R592b12e5a8a04da3" /><Relationship Type="http://schemas.openxmlformats.org/officeDocument/2006/relationships/worksheet" Target="/xl/worksheets/sheet1.xml" Id="Re3fa559380a1410b" /><Relationship Type="http://schemas.openxmlformats.org/officeDocument/2006/relationships/worksheet" Target="/xl/worksheets/sheet2.xml" Id="R798f32e7ec6248cf" /><Relationship Type="http://schemas.openxmlformats.org/officeDocument/2006/relationships/worksheet" Target="/xl/worksheets/sheet3.xml" Id="R16162f35008b417b" /><Relationship Type="http://schemas.openxmlformats.org/officeDocument/2006/relationships/worksheet" Target="/xl/worksheets/sheet4.xml" Id="R178f15e1dcbe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Distributor Product Upload Template</x:v>
      </x:c>
      <x:c r="B1" s="18"/>
      <x:c r="C1" s="3"/>
      <x:c r="D1" s="3"/>
      <x:c r="E1" s="3"/>
      <x:c r="F1" s="3"/>
    </x:row>
    <x:row r="2">
      <x:c r="A2" s="19"/>
      <x:c r="B2" s="19"/>
    </x:row>
    <x:row r="3">
      <x:c r="A3" s="20" t="str">
        <x:v>Section</x:v>
      </x:c>
      <x:c r="B3" s="20" t="str">
        <x:v>Instructions</x:v>
      </x:c>
    </x:row>
    <x:row r="4">
      <x:c r="A4" s="21" t="str">
        <x:v>Purpose</x:v>
      </x:c>
      <x:c r="B4" s="19" t="str">
        <x:v>Populate Product_Upload without changing sheet names or column order.</x:v>
      </x:c>
    </x:row>
    <x:row r="5">
      <x:c r="A5" s="21" t="str">
        <x:v>Required</x:v>
      </x:c>
      <x:c r="B5" s="19" t="str">
        <x:v>Supplier SKU, Brand, Product Title, Category, Price, Description.</x:v>
      </x:c>
    </x:row>
    <x:row r="6">
      <x:c r="A6" s="21" t="str">
        <x:v>Category</x:v>
      </x:c>
      <x:c r="B6" s="19" t="str">
        <x:v>Must match Category_Lookup values.</x:v>
      </x:c>
    </x:row>
    <x:row r="7">
      <x:c r="A7" s="21" t="str">
        <x:v>UPC</x:v>
      </x:c>
      <x:c r="B7" s="19" t="str">
        <x:v>12 numeric digits when supplied.</x:v>
      </x:c>
    </x:row>
    <x:row r="8">
      <x:c r="A8" s="21" t="str">
        <x:v>AI fields</x:v>
      </x:c>
      <x:c r="B8" s="19" t="str">
        <x:v>Product Title, Description and Key Features may be standardized by AI.</x:v>
      </x:c>
    </x:row>
    <x:row r="9">
      <x:c r="A9" s="21" t="str">
        <x:v>Do not modify</x:v>
      </x:c>
      <x:c r="B9" s="19" t="str">
        <x:v>Workbook structure, lookup sheet, formulas or headers.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0" t="str">
        <x:v>Supplier SKU</x:v>
      </x:c>
      <x:c r="B1" s="20" t="str">
        <x:v>Brand</x:v>
      </x:c>
      <x:c r="C1" s="20" t="str">
        <x:v>Product Title</x:v>
      </x:c>
      <x:c r="D1" s="20" t="str">
        <x:v>Category</x:v>
      </x:c>
      <x:c r="E1" s="20" t="str">
        <x:v>Price</x:v>
      </x:c>
      <x:c r="F1" s="20" t="str">
        <x:v>Description</x:v>
      </x:c>
      <x:c r="G1" s="20" t="str">
        <x:v>Key Feature 1</x:v>
      </x:c>
      <x:c r="H1" s="20" t="str">
        <x:v>Key Feature 2</x:v>
      </x:c>
      <x:c r="I1" s="20" t="str">
        <x:v>Key Feature 3</x:v>
      </x:c>
      <x:c r="J1" s="20" t="str">
        <x:v>UPC</x:v>
      </x:c>
      <x:c r="K1" s="20" t="str">
        <x:v>Active</x:v>
      </x:c>
      <x:c r="L1" s="20" t="str">
        <x:v>Row Status</x:v>
      </x:c>
    </x:row>
    <x:row r="2">
      <x:c r="A2" t="str">
        <x:v>ACM-1001</x:v>
      </x:c>
      <x:c r="B2" t="str">
        <x:v>Acme</x:v>
      </x:c>
      <x:c r="C2" t="str">
        <x:v>Acme 18V Cordless Drill Kit</x:v>
      </x:c>
      <x:c r="D2" t="str">
        <x:v>Power Tools</x:v>
      </x:c>
      <x:c r="E2" s="26" t="n">
        <x:v>89.95</x:v>
      </x:c>
      <x:c r="F2" t="str">
        <x:v>18 volt cordless drill kit with battery charger and carrying case.</x:v>
      </x:c>
      <x:c r="G2" t="str">
        <x:v>Category: Power Tools</x:v>
      </x:c>
      <x:c r="H2" t="str">
        <x:v>Standardized for catalog consistency</x:v>
      </x:c>
      <x:c r="I2" t="str">
        <x:v>Portfolio mock AI enrichment</x:v>
      </x:c>
      <x:c r="J2" t="str">
        <x:v>081234567890</x:v>
      </x:c>
      <x:c r="K2" t="str">
        <x:v>Y</x:v>
      </x:c>
      <x:c r="L2" t="str">
        <x:f>IF(COUNTA(A2:K2)=0,"",IF(OR(A2="",B2="",C2="",D2="",E2="",F2=""),"CHECK","READY"))</x:f>
        <x:v>READY</x:v>
      </x:c>
    </x:row>
    <x:row r="3">
      <x:c r="A3" t="str">
        <x:v>ACM-1002</x:v>
      </x:c>
      <x:c r="B3" t="str">
        <x:v>Acme</x:v>
      </x:c>
      <x:c r="C3" t="str">
        <x:v>Acme Heavy Duty Extension Cord 50 ft</x:v>
      </x:c>
      <x:c r="D3" t="str">
        <x:v>Electrical</x:v>
      </x:c>
      <x:c r="E3" s="26" t="n">
        <x:v>34.5</x:v>
      </x:c>
      <x:c r="F3" t="str">
        <x:v>Outdoor rated 12 gauge extension cord 50 foot orange jacket.</x:v>
      </x:c>
      <x:c r="G3" t="str">
        <x:v>Category: Electrical</x:v>
      </x:c>
      <x:c r="H3" t="str">
        <x:v>Standardized for catalog consistency</x:v>
      </x:c>
      <x:c r="I3" t="str">
        <x:v>Portfolio mock AI enrichment</x:v>
      </x:c>
      <x:c r="J3" t="str">
        <x:v>081234567906</x:v>
      </x:c>
      <x:c r="K3" t="str">
        <x:v>Y</x:v>
      </x:c>
      <x:c r="L3" t="str">
        <x:f>IF(COUNTA(A3:K3)=0,"",IF(OR(A3="",B3="",C3="",D3="",E3="",F3=""),"CHECK","READY"))</x:f>
        <x:v>READY</x:v>
      </x:c>
    </x:row>
    <x:row r="4">
      <x:c r="A4" t="str">
        <x:v>BRX-2001</x:v>
      </x:c>
      <x:c r="B4" t="str">
        <x:v>Borex</x:v>
      </x:c>
      <x:c r="C4" t="str">
        <x:v>Borex Safety Glasses Clear Anti Fog</x:v>
      </x:c>
      <x:c r="D4" t="str">
        <x:v>Safety</x:v>
      </x:c>
      <x:c r="E4" s="26" t="n">
        <x:v>12.99</x:v>
      </x:c>
      <x:c r="F4" t="str">
        <x:v>Clear lens safety glasses with anti fog coating.</x:v>
      </x:c>
      <x:c r="G4" t="str">
        <x:v>Category: Safety</x:v>
      </x:c>
      <x:c r="H4" t="str">
        <x:v>Standardized for catalog consistency</x:v>
      </x:c>
      <x:c r="I4" t="str">
        <x:v>Portfolio mock AI enrichment</x:v>
      </x:c>
      <x:c r="J4" t="str">
        <x:v>081234567913</x:v>
      </x:c>
      <x:c r="K4" t="str">
        <x:v>Y</x:v>
      </x:c>
      <x:c r="L4" t="str">
        <x:f>IF(COUNTA(A4:K4)=0,"",IF(OR(A4="",B4="",C4="",D4="",E4="",F4=""),"CHECK","READY"))</x:f>
        <x:v>READY</x:v>
      </x:c>
    </x:row>
    <x:row r="5">
      <x:c r="A5" t="str">
        <x:v>BRX-2002</x:v>
      </x:c>
      <x:c r="B5" t="str">
        <x:v>Borex</x:v>
      </x:c>
      <x:c r="C5" t="str">
        <x:v>Borex Nitrile Work Gloves Large 100 Count</x:v>
      </x:c>
      <x:c r="D5" t="str">
        <x:v>Safety</x:v>
      </x:c>
      <x:c r="E5" s="26" t="n">
        <x:v>18.25</x:v>
      </x:c>
      <x:c r="F5" t="str">
        <x:v>Disposable nitrile gloves large size box of 100.</x:v>
      </x:c>
      <x:c r="G5" t="str">
        <x:v>Category: Safety</x:v>
      </x:c>
      <x:c r="H5" t="str">
        <x:v>Standardized for catalog consistency</x:v>
      </x:c>
      <x:c r="I5" t="str">
        <x:v>Portfolio mock AI enrichment</x:v>
      </x:c>
      <x:c r="J5" t="str">
        <x:v>081234567920</x:v>
      </x:c>
      <x:c r="K5" t="str">
        <x:v>Y</x:v>
      </x:c>
      <x:c r="L5" t="str">
        <x:f>IF(COUNTA(A5:K5)=0,"",IF(OR(A5="",B5="",C5="",D5="",E5="",F5=""),"CHECK","READY"))</x:f>
        <x:v>READY</x:v>
      </x:c>
    </x:row>
    <x:row r="6">
      <x:c r="A6" t="str">
        <x:v>CTY-3001</x:v>
      </x:c>
      <x:c r="B6" t="str">
        <x:v>Crafty</x:v>
      </x:c>
      <x:c r="C6" t="str">
        <x:v>Crafty Adjustable Wrench 10 inch</x:v>
      </x:c>
      <x:c r="D6" t="str">
        <x:v>Hand Tools</x:v>
      </x:c>
      <x:c r="E6" s="26" t="n">
        <x:v>16.75</x:v>
      </x:c>
      <x:c r="F6" t="str">
        <x:v>10 inch adjustable wrench chrome finish.</x:v>
      </x:c>
      <x:c r="G6" t="str">
        <x:v>Category: Hand Tools</x:v>
      </x:c>
      <x:c r="H6" t="str">
        <x:v>Standardized for catalog consistency</x:v>
      </x:c>
      <x:c r="I6" t="str">
        <x:v>Portfolio mock AI enrichment</x:v>
      </x:c>
      <x:c r="J6" t="str">
        <x:v>081234567937</x:v>
      </x:c>
      <x:c r="K6" t="str">
        <x:v>Y</x:v>
      </x:c>
      <x:c r="L6" t="str">
        <x:f>IF(COUNTA(A6:K6)=0,"",IF(OR(A6="",B6="",C6="",D6="",E6="",F6=""),"CHECK","READY"))</x:f>
        <x:v>READY</x:v>
      </x:c>
    </x:row>
    <x:row r="7">
      <x:c r="A7" t="str">
        <x:v>CTY-3002</x:v>
      </x:c>
      <x:c r="B7" t="str">
        <x:v>Crafty</x:v>
      </x:c>
      <x:c r="C7" t="str">
        <x:v>Crafty Magnetic Torpedo Level 9 inch</x:v>
      </x:c>
      <x:c r="D7" t="str">
        <x:v>Hand Tools</x:v>
      </x:c>
      <x:c r="E7" s="26" t="n">
        <x:v>14.4</x:v>
      </x:c>
      <x:c r="F7" t="str">
        <x:v>Compact magnetic torpedo level for plumbing and electrical work.</x:v>
      </x:c>
      <x:c r="G7" t="str">
        <x:v>Category: Hand Tools</x:v>
      </x:c>
      <x:c r="H7" t="str">
        <x:v>Standardized for catalog consistency</x:v>
      </x:c>
      <x:c r="I7" t="str">
        <x:v>Portfolio mock AI enrichment</x:v>
      </x:c>
      <x:c r="J7" t="str">
        <x:v>081234567944</x:v>
      </x:c>
      <x:c r="K7" t="str">
        <x:v>Y</x:v>
      </x:c>
      <x:c r="L7" t="str">
        <x:f>IF(COUNTA(A7:K7)=0,"",IF(OR(A7="",B7="",C7="",D7="",E7="",F7=""),"CHECK","READY"))</x:f>
        <x:v>READY</x:v>
      </x:c>
    </x:row>
    <x:row r="8">
      <x:c r="A8" t="str">
        <x:v>ELX-4001</x:v>
      </x:c>
      <x:c r="B8" t="str">
        <x:v>Elix</x:v>
      </x:c>
      <x:c r="C8" t="str">
        <x:v>Elix LED Shop Light 4 ft 5000K</x:v>
      </x:c>
      <x:c r="D8" t="str">
        <x:v>Lighting</x:v>
      </x:c>
      <x:c r="E8" s="26" t="n">
        <x:v>29.99</x:v>
      </x:c>
      <x:c r="F8" t="str">
        <x:v>Four foot LED shop light daylight 5000K linkable.</x:v>
      </x:c>
      <x:c r="G8" t="str">
        <x:v>Category: Lighting</x:v>
      </x:c>
      <x:c r="H8" t="str">
        <x:v>Standardized for catalog consistency</x:v>
      </x:c>
      <x:c r="I8" t="str">
        <x:v>Portfolio mock AI enrichment</x:v>
      </x:c>
      <x:c r="J8" t="str">
        <x:v>081234567951</x:v>
      </x:c>
      <x:c r="K8" t="str">
        <x:v>Y</x:v>
      </x:c>
      <x:c r="L8" t="str">
        <x:f>IF(COUNTA(A8:K8)=0,"",IF(OR(A8="",B8="",C8="",D8="",E8="",F8=""),"CHECK","READY"))</x:f>
        <x:v>READY</x:v>
      </x:c>
    </x:row>
    <x:row r="9">
      <x:c r="A9" t="str">
        <x:v>ELX-4002</x:v>
      </x:c>
      <x:c r="B9" t="str">
        <x:v>Elix</x:v>
      </x:c>
      <x:c r="C9" t="str">
        <x:v>Elix Portable Work Light 2000 Lumen</x:v>
      </x:c>
      <x:c r="D9" t="str">
        <x:v>Lighting</x:v>
      </x:c>
      <x:c r="E9" s="26" t="n">
        <x:v>42</x:v>
      </x:c>
      <x:c r="F9" t="str">
        <x:v>Portable 2000 lumen work light with folding stand.</x:v>
      </x:c>
      <x:c r="G9" t="str">
        <x:v>Category: Lighting</x:v>
      </x:c>
      <x:c r="H9" t="str">
        <x:v>Standardized for catalog consistency</x:v>
      </x:c>
      <x:c r="I9" t="str">
        <x:v>Portfolio mock AI enrichment</x:v>
      </x:c>
      <x:c r="J9" t="str">
        <x:v>081234567968</x:v>
      </x:c>
      <x:c r="K9" t="str">
        <x:v>Y</x:v>
      </x:c>
      <x:c r="L9" t="str">
        <x:f>IF(COUNTA(A9:K9)=0,"",IF(OR(A9="",B9="",C9="",D9="",E9="",F9=""),"CHECK","READY"))</x:f>
        <x:v>READY</x:v>
      </x:c>
    </x:row>
    <x:row r="10">
      <x:c r="A10" t="str">
        <x:v>FRM-5001</x:v>
      </x:c>
      <x:c r="B10" t="str">
        <x:v>Formax</x:v>
      </x:c>
      <x:c r="C10" t="str">
        <x:v>Formax Industrial Storage Bin Blue</x:v>
      </x:c>
      <x:c r="D10" t="str">
        <x:v>Storage</x:v>
      </x:c>
      <x:c r="E10" s="26" t="n">
        <x:v>8.5</x:v>
      </x:c>
      <x:c r="F10" t="str">
        <x:v>Stackable blue industrial storage bin medium size.</x:v>
      </x:c>
      <x:c r="G10" t="str">
        <x:v>Category: Storage</x:v>
      </x:c>
      <x:c r="H10" t="str">
        <x:v>Standardized for catalog consistency</x:v>
      </x:c>
      <x:c r="I10" t="str">
        <x:v>Portfolio mock AI enrichment</x:v>
      </x:c>
      <x:c r="J10" t="str">
        <x:v>081234567975</x:v>
      </x:c>
      <x:c r="K10" t="str">
        <x:v>Y</x:v>
      </x:c>
      <x:c r="L10" t="str">
        <x:f>IF(COUNTA(A10:K10)=0,"",IF(OR(A10="",B10="",C10="",D10="",E10="",F10=""),"CHECK","READY"))</x:f>
        <x:v>READY</x:v>
      </x:c>
    </x:row>
    <x:row r="11">
      <x:c r="A11" t="str">
        <x:v>FRM-5002</x:v>
      </x:c>
      <x:c r="B11" t="str">
        <x:v>Formax</x:v>
      </x:c>
      <x:c r="C11" t="str">
        <x:v>Formax 5 Shelf Steel Utility Rack</x:v>
      </x:c>
      <x:c r="D11" t="str">
        <x:v>Storage</x:v>
      </x:c>
      <x:c r="E11" s="26" t="n">
        <x:v>119</x:v>
      </x:c>
      <x:c r="F11" t="str">
        <x:v>Heavy duty five shelf steel utility rack black powder coat.</x:v>
      </x:c>
      <x:c r="G11" t="str">
        <x:v>Category: Storage</x:v>
      </x:c>
      <x:c r="H11" t="str">
        <x:v>Standardized for catalog consistency</x:v>
      </x:c>
      <x:c r="I11" t="str">
        <x:v>Portfolio mock AI enrichment</x:v>
      </x:c>
      <x:c r="J11" t="str">
        <x:v>081234567982</x:v>
      </x:c>
      <x:c r="K11" t="str">
        <x:v>Y</x:v>
      </x:c>
      <x:c r="L11" t="str">
        <x:f>IF(COUNTA(A11:K11)=0,"",IF(OR(A11="",B11="",C11="",D11="",E11="",F11=""),"CHECK","READY"))</x:f>
        <x:v>READY</x:v>
      </x:c>
    </x:row>
  </x:sheetData>
  <x:conditionalFormatting sqref="L2:L11">
    <x:cfRule type="expression" dxfId="0" priority="1">
      <x:formula>L2="READY"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9" t="str">
        <x:v>Allowed Category</x:v>
      </x:c>
    </x:row>
    <x:row r="2">
      <x:c r="A2" t="str">
        <x:v>Electrical</x:v>
      </x:c>
    </x:row>
    <x:row r="3">
      <x:c r="A3" t="str">
        <x:v>Hand Tools</x:v>
      </x:c>
    </x:row>
    <x:row r="4">
      <x:c r="A4" t="str">
        <x:v>Lighting</x:v>
      </x:c>
    </x:row>
    <x:row r="5">
      <x:c r="A5" t="str">
        <x:v>Power Tools</x:v>
      </x:c>
    </x:row>
    <x:row r="6">
      <x:c r="A6" t="str">
        <x:v>Safety</x:v>
      </x:c>
    </x:row>
    <x:row r="7">
      <x:c r="A7" t="str">
        <x:v>Storage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3" t="str">
        <x:v>Upload Summary</x:v>
      </x:c>
      <x:c r="B1" s="3"/>
      <x:c r="C1" s="3"/>
      <x:c r="D1" s="3"/>
    </x:row>
    <x:row r="3">
      <x:c r="A3" s="9" t="str">
        <x:v>Metric</x:v>
      </x:c>
      <x:c r="B3" s="9" t="str">
        <x:v>Value</x:v>
      </x:c>
    </x:row>
    <x:row r="4">
      <x:c r="A4" s="15" t="str">
        <x:v>Source Rows</x:v>
      </x:c>
      <x:c r="B4" t="n">
        <x:v>16</x:v>
      </x:c>
    </x:row>
    <x:row r="5">
      <x:c r="A5" s="15" t="str">
        <x:v>Valid Products</x:v>
      </x:c>
      <x:c r="B5" t="n">
        <x:v>10</x:v>
      </x:c>
    </x:row>
    <x:row r="6">
      <x:c r="A6" s="15" t="str">
        <x:v>Validation Errors</x:v>
      </x:c>
      <x:c r="B6" t="n">
        <x:v>6</x:v>
      </x:c>
    </x:row>
    <x:row r="7">
      <x:c r="A7" s="15" t="str">
        <x:v>Ready Rows</x:v>
      </x:c>
      <x:c r="B7" t="n">
        <x:f>COUNTIF(Product_Upload!L:L,"READY")</x:f>
        <x:v>10</x:v>
      </x:c>
    </x:row>
    <x:row r="8">
      <x:c r="A8" s="15" t="str">
        <x:v>Average Price</x:v>
      </x:c>
      <x:c r="B8" s="26" t="n">
        <x:f>IFERROR(AVERAGE(Product_Upload!E:E),0)</x:f>
        <x:v>38.633</x:v>
      </x:c>
    </x:row>
    <x:row r="9">
      <x:c r="A9" s="15" t="str">
        <x:v>Active Products</x:v>
      </x:c>
      <x:c r="B9" t="n">
        <x:f>COUNTIF(Product_Upload!K:K,"Y")</x:f>
        <x:v>10</x:v>
      </x:c>
    </x:row>
    <x:row r="10">
      <x:c r="A10" s="15" t="str">
        <x:v>AI Mode</x:v>
      </x:c>
      <x:c r="B10" t="str">
        <x:v>MOCK</x:v>
      </x:c>
    </x:row>
  </x:sheetData>
  <x:mergeCells>
    <x:mergeCell ref="A1:D1"/>
  </x:mergeCells>
  <x:pageMargins left="0.7" right="0.7" top="0.75" bottom="0.75" header="0.3" footer="0.3"/>
</x:worksheet>
</file>